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3248\Desktop\Self-restraint\SelfRestraintM\"/>
    </mc:Choice>
  </mc:AlternateContent>
  <xr:revisionPtr revIDLastSave="0" documentId="13_ncr:1_{6B7B3867-4465-45E6-B882-EEB289A7442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 1" sheetId="1" r:id="rId1"/>
  </sheets>
  <definedNames>
    <definedName name="_xlnm._FilterDatabase" localSheetId="0" hidden="1">'Sheet 1'!$A$1:$F$29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</calcChain>
</file>

<file path=xl/sharedStrings.xml><?xml version="1.0" encoding="utf-8"?>
<sst xmlns="http://schemas.openxmlformats.org/spreadsheetml/2006/main" count="118" uniqueCount="44">
  <si>
    <t>Variable</t>
  </si>
  <si>
    <t>Category</t>
  </si>
  <si>
    <t>LGBTQ</t>
  </si>
  <si>
    <t>Freq</t>
  </si>
  <si>
    <t>Percent</t>
  </si>
  <si>
    <t>Percent_label</t>
  </si>
  <si>
    <t>transgender</t>
  </si>
  <si>
    <t>0</t>
  </si>
  <si>
    <t>100%</t>
  </si>
  <si>
    <t>1</t>
  </si>
  <si>
    <t>0%</t>
  </si>
  <si>
    <t>95.45%</t>
  </si>
  <si>
    <t>4.55%</t>
  </si>
  <si>
    <t>sexual_orientation</t>
  </si>
  <si>
    <t>2</t>
  </si>
  <si>
    <t>3</t>
  </si>
  <si>
    <t>4</t>
  </si>
  <si>
    <t>5</t>
  </si>
  <si>
    <t>53.52%</t>
  </si>
  <si>
    <t>0.97%</t>
  </si>
  <si>
    <t>37.1%</t>
  </si>
  <si>
    <t>2.48%</t>
  </si>
  <si>
    <t>5.93%</t>
  </si>
  <si>
    <t>age_group</t>
  </si>
  <si>
    <t>[18,20)</t>
  </si>
  <si>
    <t>21.85%</t>
  </si>
  <si>
    <t>[20,22)</t>
  </si>
  <si>
    <t>35.29%</t>
  </si>
  <si>
    <t>[22,24)</t>
  </si>
  <si>
    <t>18.49%</t>
  </si>
  <si>
    <t>[24,26)</t>
  </si>
  <si>
    <t>12.61%</t>
  </si>
  <si>
    <t>[26,Inf)</t>
  </si>
  <si>
    <t>11.76%</t>
  </si>
  <si>
    <t>17.52%</t>
  </si>
  <si>
    <t>33.79%</t>
  </si>
  <si>
    <t>21.66%</t>
  </si>
  <si>
    <t>16.41%</t>
  </si>
  <si>
    <t>10.62%</t>
  </si>
  <si>
    <t>documented_female</t>
  </si>
  <si>
    <t>34.45%</t>
  </si>
  <si>
    <t>65.55%</t>
  </si>
  <si>
    <t>65.52%</t>
  </si>
  <si>
    <t>34.48%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</si>
</sst>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9"/>
  <sheetViews>
    <sheetView tabSelected="1" workbookViewId="0">
      <selection activeCell="H16" sqref="H16:H20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 t="s">
        <v>6</v>
      </c>
      <c r="B2" t="s">
        <v>7</v>
      </c>
      <c r="C2" t="s">
        <v>7</v>
      </c>
      <c r="D2">
        <v>119</v>
      </c>
      <c r="E2">
        <v>1</v>
      </c>
      <c r="F2" t="s">
        <v>8</v>
      </c>
      <c r="H2" t="str">
        <f>_xlfn.CONCAT(D2, " (", F2,")")</f>
        <v>119 (100%)</v>
      </c>
    </row>
    <row r="3" spans="1:8" x14ac:dyDescent="0.35">
      <c r="A3" t="s">
        <v>6</v>
      </c>
      <c r="B3" t="s">
        <v>9</v>
      </c>
      <c r="C3" t="s">
        <v>7</v>
      </c>
      <c r="D3">
        <v>0</v>
      </c>
      <c r="E3">
        <v>0</v>
      </c>
      <c r="F3" t="s">
        <v>10</v>
      </c>
      <c r="H3" t="str">
        <f t="shared" ref="H3:H29" si="0">_xlfn.CONCAT(D3, " (", F3,")")</f>
        <v>0 (0%)</v>
      </c>
    </row>
    <row r="4" spans="1:8" hidden="1" x14ac:dyDescent="0.35">
      <c r="A4" t="s">
        <v>6</v>
      </c>
      <c r="B4" t="s">
        <v>7</v>
      </c>
      <c r="C4" t="s">
        <v>9</v>
      </c>
      <c r="D4">
        <v>692</v>
      </c>
      <c r="E4">
        <v>0.95448275862068999</v>
      </c>
      <c r="F4" t="s">
        <v>11</v>
      </c>
      <c r="H4" t="str">
        <f t="shared" si="0"/>
        <v>692 (95.45%)</v>
      </c>
    </row>
    <row r="5" spans="1:8" hidden="1" x14ac:dyDescent="0.35">
      <c r="A5" t="s">
        <v>6</v>
      </c>
      <c r="B5" t="s">
        <v>9</v>
      </c>
      <c r="C5" t="s">
        <v>9</v>
      </c>
      <c r="D5">
        <v>33</v>
      </c>
      <c r="E5">
        <v>4.5517241379310298E-2</v>
      </c>
      <c r="F5" t="s">
        <v>12</v>
      </c>
      <c r="H5" t="str">
        <f t="shared" si="0"/>
        <v>33 (4.55%)</v>
      </c>
    </row>
    <row r="6" spans="1:8" x14ac:dyDescent="0.35">
      <c r="A6" t="s">
        <v>13</v>
      </c>
      <c r="B6" t="s">
        <v>9</v>
      </c>
      <c r="C6" t="s">
        <v>7</v>
      </c>
      <c r="D6">
        <v>0</v>
      </c>
      <c r="E6">
        <v>0</v>
      </c>
      <c r="F6" t="s">
        <v>10</v>
      </c>
      <c r="H6" t="str">
        <f t="shared" si="0"/>
        <v>0 (0%)</v>
      </c>
    </row>
    <row r="7" spans="1:8" x14ac:dyDescent="0.35">
      <c r="A7" t="s">
        <v>13</v>
      </c>
      <c r="B7" t="s">
        <v>14</v>
      </c>
      <c r="C7" t="s">
        <v>7</v>
      </c>
      <c r="D7">
        <v>119</v>
      </c>
      <c r="E7">
        <v>1</v>
      </c>
      <c r="F7" t="s">
        <v>8</v>
      </c>
      <c r="H7" t="str">
        <f t="shared" si="0"/>
        <v>119 (100%)</v>
      </c>
    </row>
    <row r="8" spans="1:8" x14ac:dyDescent="0.35">
      <c r="A8" t="s">
        <v>13</v>
      </c>
      <c r="B8" t="s">
        <v>15</v>
      </c>
      <c r="C8" t="s">
        <v>7</v>
      </c>
      <c r="D8">
        <v>0</v>
      </c>
      <c r="E8">
        <v>0</v>
      </c>
      <c r="F8" t="s">
        <v>10</v>
      </c>
      <c r="H8" t="str">
        <f t="shared" si="0"/>
        <v>0 (0%)</v>
      </c>
    </row>
    <row r="9" spans="1:8" x14ac:dyDescent="0.35">
      <c r="A9" t="s">
        <v>13</v>
      </c>
      <c r="B9" t="s">
        <v>16</v>
      </c>
      <c r="C9" t="s">
        <v>7</v>
      </c>
      <c r="D9">
        <v>0</v>
      </c>
      <c r="E9">
        <v>0</v>
      </c>
      <c r="F9" t="s">
        <v>10</v>
      </c>
      <c r="H9" t="str">
        <f t="shared" si="0"/>
        <v>0 (0%)</v>
      </c>
    </row>
    <row r="10" spans="1:8" x14ac:dyDescent="0.35">
      <c r="A10" t="s">
        <v>13</v>
      </c>
      <c r="B10" t="s">
        <v>17</v>
      </c>
      <c r="C10" t="s">
        <v>7</v>
      </c>
      <c r="D10">
        <v>0</v>
      </c>
      <c r="E10">
        <v>0</v>
      </c>
      <c r="F10" t="s">
        <v>10</v>
      </c>
      <c r="H10" t="str">
        <f t="shared" si="0"/>
        <v>0 (0%)</v>
      </c>
    </row>
    <row r="11" spans="1:8" hidden="1" x14ac:dyDescent="0.35">
      <c r="A11" t="s">
        <v>13</v>
      </c>
      <c r="B11" t="s">
        <v>9</v>
      </c>
      <c r="C11" t="s">
        <v>9</v>
      </c>
      <c r="D11">
        <v>388</v>
      </c>
      <c r="E11">
        <v>0.53517241379310299</v>
      </c>
      <c r="F11" t="s">
        <v>18</v>
      </c>
      <c r="H11" t="str">
        <f t="shared" si="0"/>
        <v>388 (53.52%)</v>
      </c>
    </row>
    <row r="12" spans="1:8" hidden="1" x14ac:dyDescent="0.35">
      <c r="A12" t="s">
        <v>13</v>
      </c>
      <c r="B12" t="s">
        <v>14</v>
      </c>
      <c r="C12" t="s">
        <v>9</v>
      </c>
      <c r="D12">
        <v>7</v>
      </c>
      <c r="E12">
        <v>9.6551724137931005E-3</v>
      </c>
      <c r="F12" t="s">
        <v>19</v>
      </c>
      <c r="H12" t="str">
        <f t="shared" si="0"/>
        <v>7 (0.97%)</v>
      </c>
    </row>
    <row r="13" spans="1:8" hidden="1" x14ac:dyDescent="0.35">
      <c r="A13" t="s">
        <v>13</v>
      </c>
      <c r="B13" t="s">
        <v>15</v>
      </c>
      <c r="C13" t="s">
        <v>9</v>
      </c>
      <c r="D13">
        <v>269</v>
      </c>
      <c r="E13">
        <v>0.371034482758621</v>
      </c>
      <c r="F13" t="s">
        <v>20</v>
      </c>
      <c r="H13" t="str">
        <f t="shared" si="0"/>
        <v>269 (37.1%)</v>
      </c>
    </row>
    <row r="14" spans="1:8" hidden="1" x14ac:dyDescent="0.35">
      <c r="A14" t="s">
        <v>13</v>
      </c>
      <c r="B14" t="s">
        <v>16</v>
      </c>
      <c r="C14" t="s">
        <v>9</v>
      </c>
      <c r="D14">
        <v>18</v>
      </c>
      <c r="E14">
        <v>2.4827586206896599E-2</v>
      </c>
      <c r="F14" t="s">
        <v>21</v>
      </c>
      <c r="H14" t="str">
        <f t="shared" si="0"/>
        <v>18 (2.48%)</v>
      </c>
    </row>
    <row r="15" spans="1:8" hidden="1" x14ac:dyDescent="0.35">
      <c r="A15" t="s">
        <v>13</v>
      </c>
      <c r="B15" t="s">
        <v>17</v>
      </c>
      <c r="C15" t="s">
        <v>9</v>
      </c>
      <c r="D15">
        <v>43</v>
      </c>
      <c r="E15">
        <v>5.9310344827586202E-2</v>
      </c>
      <c r="F15" t="s">
        <v>22</v>
      </c>
      <c r="H15" t="str">
        <f t="shared" si="0"/>
        <v>43 (5.93%)</v>
      </c>
    </row>
    <row r="16" spans="1:8" x14ac:dyDescent="0.35">
      <c r="A16" t="s">
        <v>23</v>
      </c>
      <c r="B16" t="s">
        <v>24</v>
      </c>
      <c r="C16" t="s">
        <v>7</v>
      </c>
      <c r="D16">
        <v>26</v>
      </c>
      <c r="E16">
        <v>0.218487394957983</v>
      </c>
      <c r="F16" t="s">
        <v>25</v>
      </c>
      <c r="H16" t="str">
        <f t="shared" si="0"/>
        <v>26 (21.85%)</v>
      </c>
    </row>
    <row r="17" spans="1:8" x14ac:dyDescent="0.35">
      <c r="A17" t="s">
        <v>23</v>
      </c>
      <c r="B17" t="s">
        <v>26</v>
      </c>
      <c r="C17" t="s">
        <v>7</v>
      </c>
      <c r="D17">
        <v>42</v>
      </c>
      <c r="E17">
        <v>0.35294117647058798</v>
      </c>
      <c r="F17" t="s">
        <v>27</v>
      </c>
      <c r="H17" t="str">
        <f t="shared" si="0"/>
        <v>42 (35.29%)</v>
      </c>
    </row>
    <row r="18" spans="1:8" x14ac:dyDescent="0.35">
      <c r="A18" t="s">
        <v>23</v>
      </c>
      <c r="B18" t="s">
        <v>28</v>
      </c>
      <c r="C18" t="s">
        <v>7</v>
      </c>
      <c r="D18">
        <v>22</v>
      </c>
      <c r="E18">
        <v>0.184873949579832</v>
      </c>
      <c r="F18" t="s">
        <v>29</v>
      </c>
      <c r="H18" t="str">
        <f t="shared" si="0"/>
        <v>22 (18.49%)</v>
      </c>
    </row>
    <row r="19" spans="1:8" x14ac:dyDescent="0.35">
      <c r="A19" t="s">
        <v>23</v>
      </c>
      <c r="B19" t="s">
        <v>30</v>
      </c>
      <c r="C19" t="s">
        <v>7</v>
      </c>
      <c r="D19">
        <v>15</v>
      </c>
      <c r="E19">
        <v>0.126050420168067</v>
      </c>
      <c r="F19" t="s">
        <v>31</v>
      </c>
      <c r="H19" t="str">
        <f t="shared" si="0"/>
        <v>15 (12.61%)</v>
      </c>
    </row>
    <row r="20" spans="1:8" x14ac:dyDescent="0.35">
      <c r="A20" t="s">
        <v>23</v>
      </c>
      <c r="B20" t="s">
        <v>32</v>
      </c>
      <c r="C20" t="s">
        <v>7</v>
      </c>
      <c r="D20">
        <v>14</v>
      </c>
      <c r="E20">
        <v>0.11764705882352899</v>
      </c>
      <c r="F20" t="s">
        <v>33</v>
      </c>
      <c r="H20" t="str">
        <f t="shared" si="0"/>
        <v>14 (11.76%)</v>
      </c>
    </row>
    <row r="21" spans="1:8" hidden="1" x14ac:dyDescent="0.35">
      <c r="A21" t="s">
        <v>23</v>
      </c>
      <c r="B21" t="s">
        <v>24</v>
      </c>
      <c r="C21" t="s">
        <v>9</v>
      </c>
      <c r="D21">
        <v>127</v>
      </c>
      <c r="E21">
        <v>0.175172413793103</v>
      </c>
      <c r="F21" t="s">
        <v>34</v>
      </c>
      <c r="H21" t="str">
        <f t="shared" si="0"/>
        <v>127 (17.52%)</v>
      </c>
    </row>
    <row r="22" spans="1:8" hidden="1" x14ac:dyDescent="0.35">
      <c r="A22" t="s">
        <v>23</v>
      </c>
      <c r="B22" t="s">
        <v>26</v>
      </c>
      <c r="C22" t="s">
        <v>9</v>
      </c>
      <c r="D22">
        <v>245</v>
      </c>
      <c r="E22">
        <v>0.33793103448275902</v>
      </c>
      <c r="F22" t="s">
        <v>35</v>
      </c>
      <c r="H22" t="str">
        <f t="shared" si="0"/>
        <v>245 (33.79%)</v>
      </c>
    </row>
    <row r="23" spans="1:8" hidden="1" x14ac:dyDescent="0.35">
      <c r="A23" t="s">
        <v>23</v>
      </c>
      <c r="B23" t="s">
        <v>28</v>
      </c>
      <c r="C23" t="s">
        <v>9</v>
      </c>
      <c r="D23">
        <v>157</v>
      </c>
      <c r="E23">
        <v>0.216551724137931</v>
      </c>
      <c r="F23" t="s">
        <v>36</v>
      </c>
      <c r="H23" t="str">
        <f t="shared" si="0"/>
        <v>157 (21.66%)</v>
      </c>
    </row>
    <row r="24" spans="1:8" hidden="1" x14ac:dyDescent="0.35">
      <c r="A24" t="s">
        <v>23</v>
      </c>
      <c r="B24" t="s">
        <v>30</v>
      </c>
      <c r="C24" t="s">
        <v>9</v>
      </c>
      <c r="D24">
        <v>119</v>
      </c>
      <c r="E24">
        <v>0.16413793103448299</v>
      </c>
      <c r="F24" t="s">
        <v>37</v>
      </c>
      <c r="H24" t="str">
        <f t="shared" si="0"/>
        <v>119 (16.41%)</v>
      </c>
    </row>
    <row r="25" spans="1:8" hidden="1" x14ac:dyDescent="0.35">
      <c r="A25" t="s">
        <v>23</v>
      </c>
      <c r="B25" t="s">
        <v>32</v>
      </c>
      <c r="C25" t="s">
        <v>9</v>
      </c>
      <c r="D25">
        <v>77</v>
      </c>
      <c r="E25">
        <v>0.10620689655172399</v>
      </c>
      <c r="F25" t="s">
        <v>38</v>
      </c>
      <c r="H25" t="str">
        <f t="shared" si="0"/>
        <v>77 (10.62%)</v>
      </c>
    </row>
    <row r="26" spans="1:8" x14ac:dyDescent="0.35">
      <c r="A26" t="s">
        <v>39</v>
      </c>
      <c r="B26" t="s">
        <v>7</v>
      </c>
      <c r="C26" t="s">
        <v>7</v>
      </c>
      <c r="D26">
        <v>41</v>
      </c>
      <c r="E26">
        <v>0.34453781512604997</v>
      </c>
      <c r="F26" t="s">
        <v>40</v>
      </c>
      <c r="H26" t="str">
        <f t="shared" si="0"/>
        <v>41 (34.45%)</v>
      </c>
    </row>
    <row r="27" spans="1:8" x14ac:dyDescent="0.35">
      <c r="A27" t="s">
        <v>39</v>
      </c>
      <c r="B27" t="s">
        <v>9</v>
      </c>
      <c r="C27" t="s">
        <v>7</v>
      </c>
      <c r="D27">
        <v>78</v>
      </c>
      <c r="E27">
        <v>0.65546218487395003</v>
      </c>
      <c r="F27" t="s">
        <v>41</v>
      </c>
      <c r="H27" t="str">
        <f t="shared" si="0"/>
        <v>78 (65.55%)</v>
      </c>
    </row>
    <row r="28" spans="1:8" hidden="1" x14ac:dyDescent="0.35">
      <c r="A28" t="s">
        <v>39</v>
      </c>
      <c r="B28" t="s">
        <v>7</v>
      </c>
      <c r="C28" t="s">
        <v>9</v>
      </c>
      <c r="D28">
        <v>475</v>
      </c>
      <c r="E28">
        <v>0.65517241379310298</v>
      </c>
      <c r="F28" t="s">
        <v>42</v>
      </c>
      <c r="H28" t="str">
        <f t="shared" si="0"/>
        <v>475 (65.52%)</v>
      </c>
    </row>
    <row r="29" spans="1:8" hidden="1" x14ac:dyDescent="0.35">
      <c r="A29" t="s">
        <v>39</v>
      </c>
      <c r="B29" t="s">
        <v>9</v>
      </c>
      <c r="C29" t="s">
        <v>9</v>
      </c>
      <c r="D29">
        <v>250</v>
      </c>
      <c r="E29">
        <v>0.34482758620689702</v>
      </c>
      <c r="F29" t="s">
        <v>43</v>
      </c>
      <c r="H29" t="str">
        <f t="shared" si="0"/>
        <v>250 (34.48%)</v>
      </c>
    </row>
  </sheetData>
  <autoFilter ref="A1:F29" xr:uid="{00000000-0001-0000-0000-000000000000}">
    <filterColumn colId="2">
      <filters>
        <filter val="0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sy3248</dc:creator>
  <cp:lastModifiedBy>sy3248</cp:lastModifiedBy>
  <dcterms:created xsi:type="dcterms:W3CDTF">2026-04-19T04:30:46Z</dcterms:created>
  <dcterms:modified xsi:type="dcterms:W3CDTF">2026-04-19T04:59:08Z</dcterms:modified>
</cp:coreProperties>
</file>